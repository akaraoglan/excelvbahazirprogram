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BuÇalışmaKitabı" defaultThemeVersion="202300"/>
  <mc:AlternateContent xmlns:mc="http://schemas.openxmlformats.org/markup-compatibility/2006">
    <mc:Choice Requires="x15">
      <x15ac:absPath xmlns:x15ac="http://schemas.microsoft.com/office/spreadsheetml/2010/11/ac" url="C:\Users\AKARAOGLAN\Desktop\PROJE\Makrolar\"/>
    </mc:Choice>
  </mc:AlternateContent>
  <xr:revisionPtr revIDLastSave="0" documentId="13_ncr:1_{76E3CC3B-D32A-4653-974C-82E3554B4A76}" xr6:coauthVersionLast="47" xr6:coauthVersionMax="47" xr10:uidLastSave="{00000000-0000-0000-0000-000000000000}"/>
  <bookViews>
    <workbookView xWindow="-120" yWindow="-120" windowWidth="29040" windowHeight="15720" xr2:uid="{C2C87ECB-7C2C-4595-8B9C-A05028AE15C4}"/>
  </bookViews>
  <sheets>
    <sheet name="FORMÜL" sheetId="2" r:id="rId1"/>
    <sheet name="V0-V5 FATURA" sheetId="4" r:id="rId2"/>
    <sheet name="Sayfa1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1" i="2" l="1"/>
  <c r="E45" i="2" s="1"/>
  <c r="D41" i="2"/>
  <c r="F43" i="2"/>
  <c r="G15" i="2" s="1"/>
  <c r="H15" i="2" s="1"/>
  <c r="H52" i="2" s="1"/>
  <c r="H60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G49" i="2"/>
  <c r="G76" i="2"/>
  <c r="F27" i="2"/>
  <c r="F28" i="2"/>
  <c r="F29" i="2"/>
  <c r="F30" i="2"/>
  <c r="F31" i="2"/>
  <c r="F32" i="2"/>
  <c r="F33" i="2"/>
  <c r="F34" i="2"/>
  <c r="F35" i="2"/>
  <c r="F36" i="2"/>
  <c r="F37" i="2"/>
  <c r="F38" i="2"/>
  <c r="F17" i="2"/>
  <c r="F18" i="2"/>
  <c r="F19" i="2"/>
  <c r="F20" i="2"/>
  <c r="F21" i="2"/>
  <c r="F22" i="2"/>
  <c r="F23" i="2"/>
  <c r="F24" i="2"/>
  <c r="F25" i="2"/>
  <c r="F26" i="2"/>
  <c r="F39" i="2"/>
  <c r="F10" i="2"/>
  <c r="F11" i="2"/>
  <c r="F12" i="2"/>
  <c r="F13" i="2"/>
  <c r="F14" i="2"/>
  <c r="F15" i="2"/>
  <c r="F16" i="2"/>
  <c r="F9" i="2"/>
  <c r="G52" i="2" l="1"/>
  <c r="G29" i="2"/>
  <c r="H29" i="2" s="1"/>
  <c r="G66" i="2" s="1"/>
  <c r="G28" i="2"/>
  <c r="H28" i="2" s="1"/>
  <c r="G65" i="2" s="1"/>
  <c r="G37" i="2"/>
  <c r="H37" i="2" s="1"/>
  <c r="G74" i="2" s="1"/>
  <c r="G36" i="2"/>
  <c r="H36" i="2" s="1"/>
  <c r="G73" i="2" s="1"/>
  <c r="G38" i="2"/>
  <c r="H38" i="2" s="1"/>
  <c r="G75" i="2" s="1"/>
  <c r="G30" i="2"/>
  <c r="H30" i="2" s="1"/>
  <c r="G67" i="2" s="1"/>
  <c r="G35" i="2"/>
  <c r="H35" i="2" s="1"/>
  <c r="G72" i="2" s="1"/>
  <c r="G27" i="2"/>
  <c r="H27" i="2" s="1"/>
  <c r="G64" i="2" s="1"/>
  <c r="G34" i="2"/>
  <c r="H34" i="2" s="1"/>
  <c r="G71" i="2" s="1"/>
  <c r="G33" i="2"/>
  <c r="H33" i="2" s="1"/>
  <c r="G70" i="2" s="1"/>
  <c r="G32" i="2"/>
  <c r="H32" i="2" s="1"/>
  <c r="G69" i="2" s="1"/>
  <c r="G31" i="2"/>
  <c r="H31" i="2" s="1"/>
  <c r="G68" i="2" s="1"/>
  <c r="G21" i="2"/>
  <c r="H21" i="2" s="1"/>
  <c r="G20" i="2"/>
  <c r="H20" i="2" s="1"/>
  <c r="G39" i="2"/>
  <c r="H39" i="2" s="1"/>
  <c r="G26" i="2"/>
  <c r="H26" i="2" s="1"/>
  <c r="G18" i="2"/>
  <c r="H18" i="2" s="1"/>
  <c r="G25" i="2"/>
  <c r="H25" i="2" s="1"/>
  <c r="G17" i="2"/>
  <c r="H17" i="2" s="1"/>
  <c r="G19" i="2"/>
  <c r="H19" i="2" s="1"/>
  <c r="G24" i="2"/>
  <c r="H24" i="2" s="1"/>
  <c r="G23" i="2"/>
  <c r="H23" i="2" s="1"/>
  <c r="G60" i="2" s="1"/>
  <c r="G22" i="2"/>
  <c r="H22" i="2" s="1"/>
  <c r="G16" i="2"/>
  <c r="H16" i="2" s="1"/>
  <c r="G14" i="2"/>
  <c r="H14" i="2" s="1"/>
  <c r="G13" i="2"/>
  <c r="H13" i="2" s="1"/>
  <c r="G12" i="2"/>
  <c r="H12" i="2" s="1"/>
  <c r="H49" i="2" s="1"/>
  <c r="G10" i="2"/>
  <c r="H10" i="2" s="1"/>
  <c r="G9" i="2"/>
  <c r="G11" i="2"/>
  <c r="H11" i="2" s="1"/>
  <c r="H47" i="2" l="1"/>
  <c r="G47" i="2"/>
  <c r="H58" i="2"/>
  <c r="G58" i="2"/>
  <c r="H59" i="2"/>
  <c r="G59" i="2"/>
  <c r="G61" i="2"/>
  <c r="H61" i="2"/>
  <c r="G62" i="2"/>
  <c r="H62" i="2"/>
  <c r="G63" i="2"/>
  <c r="H63" i="2"/>
  <c r="H57" i="2"/>
  <c r="G57" i="2"/>
  <c r="H55" i="2"/>
  <c r="G55" i="2"/>
  <c r="H56" i="2"/>
  <c r="G56" i="2"/>
  <c r="H51" i="2"/>
  <c r="G51" i="2"/>
  <c r="H53" i="2"/>
  <c r="G53" i="2"/>
  <c r="H54" i="2"/>
  <c r="G54" i="2"/>
  <c r="H50" i="2"/>
  <c r="G50" i="2"/>
  <c r="H48" i="2"/>
  <c r="G48" i="2"/>
  <c r="H9" i="2"/>
  <c r="H46" i="2" s="1"/>
  <c r="G41" i="2"/>
  <c r="G42" i="2" s="1"/>
  <c r="H78" i="2" l="1"/>
  <c r="L46" i="2" s="1"/>
  <c r="H41" i="2"/>
  <c r="G46" i="2"/>
  <c r="G78" i="2" s="1"/>
  <c r="L45" i="2" s="1"/>
  <c r="L48" i="2" l="1"/>
  <c r="K50" i="2" s="1"/>
  <c r="K51" i="2" s="1"/>
</calcChain>
</file>

<file path=xl/sharedStrings.xml><?xml version="1.0" encoding="utf-8"?>
<sst xmlns="http://schemas.openxmlformats.org/spreadsheetml/2006/main" count="23" uniqueCount="17">
  <si>
    <t>V5</t>
  </si>
  <si>
    <t>V0</t>
  </si>
  <si>
    <t>USD</t>
  </si>
  <si>
    <t>TRY</t>
  </si>
  <si>
    <t>FATURANIN "TL"TUTAR</t>
  </si>
  <si>
    <t>FATURANIN DÖVİZLİ TUTARI</t>
  </si>
  <si>
    <t>ÖDEME</t>
  </si>
  <si>
    <t>TL BAZLI ÖDEME TUTARI İLE FATURALARIN TOPLAM TUTAR ARASINDAKİ FARK</t>
  </si>
  <si>
    <t>RAKAM "+" VERİYOAR İSE ONLAR KESİYOR</t>
  </si>
  <si>
    <t>RAKAM "-" VERİYOAR İSE BİZ KESİYORUZ</t>
  </si>
  <si>
    <t>ÖDEMEDEKİ KUR</t>
  </si>
  <si>
    <t>TOPLAM</t>
  </si>
  <si>
    <t>ÖDENEN FATUALARIN KURLARI</t>
  </si>
  <si>
    <t>ÖDEMEDEKİ KUR İLE FATUARLARIN TUTARLARI</t>
  </si>
  <si>
    <t>KURLAR ARASI FARK</t>
  </si>
  <si>
    <t>F-05</t>
  </si>
  <si>
    <t>280.704,20-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</si>
</sst>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charset val="16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charset val="16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2" xfId="0" applyBorder="1"/>
    <xf numFmtId="0" fontId="0" fillId="0" borderId="6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8" xfId="0" applyBorder="1"/>
    <xf numFmtId="0" fontId="0" fillId="0" borderId="9" xfId="0" applyBorder="1"/>
    <xf numFmtId="0" fontId="0" fillId="0" borderId="7" xfId="0" applyBorder="1"/>
    <xf numFmtId="4" fontId="0" fillId="2" borderId="10" xfId="0" applyNumberFormat="1" applyFill="1" applyBorder="1" applyProtection="1">
      <protection locked="0"/>
    </xf>
    <xf numFmtId="0" fontId="0" fillId="2" borderId="10" xfId="0" applyFill="1" applyBorder="1" applyAlignment="1" applyProtection="1">
      <alignment horizontal="center"/>
      <protection locked="0"/>
    </xf>
    <xf numFmtId="4" fontId="0" fillId="2" borderId="14" xfId="0" applyNumberFormat="1" applyFill="1" applyBorder="1" applyProtection="1">
      <protection locked="0"/>
    </xf>
    <xf numFmtId="0" fontId="0" fillId="0" borderId="0" xfId="0" applyAlignment="1">
      <alignment horizontal="center"/>
    </xf>
    <xf numFmtId="0" fontId="3" fillId="0" borderId="10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4" fontId="0" fillId="0" borderId="15" xfId="0" applyNumberFormat="1" applyBorder="1" applyAlignment="1">
      <alignment horizontal="center"/>
    </xf>
    <xf numFmtId="4" fontId="0" fillId="0" borderId="10" xfId="0" applyNumberFormat="1" applyBorder="1"/>
    <xf numFmtId="4" fontId="0" fillId="0" borderId="0" xfId="0" applyNumberFormat="1"/>
    <xf numFmtId="0" fontId="0" fillId="0" borderId="10" xfId="0" applyBorder="1"/>
    <xf numFmtId="4" fontId="0" fillId="0" borderId="14" xfId="0" applyNumberFormat="1" applyBorder="1"/>
    <xf numFmtId="4" fontId="0" fillId="0" borderId="10" xfId="0" applyNumberFormat="1" applyBorder="1" applyAlignment="1">
      <alignment horizontal="center"/>
    </xf>
    <xf numFmtId="0" fontId="0" fillId="3" borderId="17" xfId="0" applyFill="1" applyBorder="1"/>
    <xf numFmtId="4" fontId="1" fillId="0" borderId="1" xfId="0" applyNumberFormat="1" applyFont="1" applyBorder="1" applyAlignment="1">
      <alignment horizontal="center"/>
    </xf>
    <xf numFmtId="0" fontId="2" fillId="0" borderId="10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/>
    </xf>
    <xf numFmtId="4" fontId="0" fillId="0" borderId="15" xfId="0" applyNumberFormat="1" applyBorder="1"/>
    <xf numFmtId="0" fontId="1" fillId="0" borderId="10" xfId="0" applyFont="1" applyBorder="1"/>
    <xf numFmtId="4" fontId="1" fillId="0" borderId="10" xfId="0" applyNumberFormat="1" applyFont="1" applyBorder="1"/>
    <xf numFmtId="4" fontId="1" fillId="0" borderId="10" xfId="0" applyNumberFormat="1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2" borderId="10" xfId="0" applyFill="1" applyBorder="1"/>
    <xf numFmtId="0" fontId="0" fillId="3" borderId="11" xfId="0" applyFill="1" applyBorder="1" applyAlignment="1">
      <alignment horizontal="center" wrapText="1"/>
    </xf>
    <xf numFmtId="0" fontId="0" fillId="3" borderId="12" xfId="0" applyFill="1" applyBorder="1" applyAlignment="1">
      <alignment horizontal="center" wrapText="1"/>
    </xf>
    <xf numFmtId="0" fontId="0" fillId="3" borderId="2" xfId="0" applyFill="1" applyBorder="1" applyAlignment="1">
      <alignment horizontal="center" wrapText="1"/>
    </xf>
    <xf numFmtId="0" fontId="0" fillId="3" borderId="3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5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619125</xdr:colOff>
          <xdr:row>44</xdr:row>
          <xdr:rowOff>19050</xdr:rowOff>
        </xdr:from>
        <xdr:to>
          <xdr:col>15</xdr:col>
          <xdr:colOff>276225</xdr:colOff>
          <xdr:row>47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Aptos Narrow"/>
                </a:rPr>
                <a:t>KİM KESECEK(KESİN ÇALIŞTIR)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19051</xdr:colOff>
      <xdr:row>2</xdr:row>
      <xdr:rowOff>19049</xdr:rowOff>
    </xdr:from>
    <xdr:to>
      <xdr:col>7</xdr:col>
      <xdr:colOff>571501</xdr:colOff>
      <xdr:row>34</xdr:row>
      <xdr:rowOff>180974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A6618B5D-FAE1-CDA8-87D7-1799B8CA49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8651" y="409574"/>
          <a:ext cx="4210050" cy="625792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</xdr:row>
      <xdr:rowOff>0</xdr:rowOff>
    </xdr:from>
    <xdr:to>
      <xdr:col>17</xdr:col>
      <xdr:colOff>161925</xdr:colOff>
      <xdr:row>15</xdr:row>
      <xdr:rowOff>69850</xdr:rowOff>
    </xdr:to>
    <xdr:pic>
      <xdr:nvPicPr>
        <xdr:cNvPr id="3" name="Resim 2">
          <a:extLst>
            <a:ext uri="{FF2B5EF4-FFF2-40B4-BE49-F238E27FC236}">
              <a16:creationId xmlns:a16="http://schemas.microsoft.com/office/drawing/2014/main" id="{02AAB678-C7E7-C202-3AD6-405347E98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05600" y="390525"/>
          <a:ext cx="3819525" cy="2546350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</xdr:colOff>
      <xdr:row>16</xdr:row>
      <xdr:rowOff>95250</xdr:rowOff>
    </xdr:from>
    <xdr:to>
      <xdr:col>18</xdr:col>
      <xdr:colOff>30008</xdr:colOff>
      <xdr:row>35</xdr:row>
      <xdr:rowOff>29317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1516F480-7CBB-C428-4AA6-51A9915D18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743700" y="3152775"/>
          <a:ext cx="4259108" cy="3563092"/>
        </a:xfrm>
        <a:prstGeom prst="rect">
          <a:avLst/>
        </a:prstGeom>
      </xdr:spPr>
    </xdr:pic>
    <xdr:clientData/>
  </xdr:twoCellAnchor>
  <xdr:twoCellAnchor editAs="oneCell">
    <xdr:from>
      <xdr:col>20</xdr:col>
      <xdr:colOff>38761</xdr:colOff>
      <xdr:row>2</xdr:row>
      <xdr:rowOff>19050</xdr:rowOff>
    </xdr:from>
    <xdr:to>
      <xdr:col>26</xdr:col>
      <xdr:colOff>428624</xdr:colOff>
      <xdr:row>19</xdr:row>
      <xdr:rowOff>159459</xdr:rowOff>
    </xdr:to>
    <xdr:pic>
      <xdr:nvPicPr>
        <xdr:cNvPr id="5" name="Resim 4">
          <a:extLst>
            <a:ext uri="{FF2B5EF4-FFF2-40B4-BE49-F238E27FC236}">
              <a16:creationId xmlns:a16="http://schemas.microsoft.com/office/drawing/2014/main" id="{B4499855-395B-6F0D-5647-F9CF85507D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230761" y="409575"/>
          <a:ext cx="4047463" cy="3378909"/>
        </a:xfrm>
        <a:prstGeom prst="rect">
          <a:avLst/>
        </a:prstGeom>
      </xdr:spPr>
    </xdr:pic>
    <xdr:clientData/>
  </xdr:twoCellAnchor>
  <xdr:twoCellAnchor editAs="oneCell">
    <xdr:from>
      <xdr:col>19</xdr:col>
      <xdr:colOff>535497</xdr:colOff>
      <xdr:row>21</xdr:row>
      <xdr:rowOff>95250</xdr:rowOff>
    </xdr:from>
    <xdr:to>
      <xdr:col>26</xdr:col>
      <xdr:colOff>600963</xdr:colOff>
      <xdr:row>38</xdr:row>
      <xdr:rowOff>57808</xdr:rowOff>
    </xdr:to>
    <xdr:pic>
      <xdr:nvPicPr>
        <xdr:cNvPr id="6" name="Resim 5">
          <a:extLst>
            <a:ext uri="{FF2B5EF4-FFF2-40B4-BE49-F238E27FC236}">
              <a16:creationId xmlns:a16="http://schemas.microsoft.com/office/drawing/2014/main" id="{39A2E452-7FB1-9400-1E80-B18B7023E9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17897" y="4105275"/>
          <a:ext cx="4332666" cy="321058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7E709-148C-4005-AB4E-73379034F949}">
  <sheetPr codeName="Sayfa1"/>
  <dimension ref="B2:M78"/>
  <sheetViews>
    <sheetView tabSelected="1" topLeftCell="A15" workbookViewId="0">
      <selection activeCell="L48" sqref="L48"/>
    </sheetView>
  </sheetViews>
  <sheetFormatPr defaultRowHeight="15" x14ac:dyDescent="0.25"/>
  <cols>
    <col min="3" max="3" width="16" customWidth="1"/>
    <col min="4" max="4" width="14.5703125" customWidth="1"/>
    <col min="5" max="5" width="13.7109375" customWidth="1"/>
    <col min="6" max="6" width="12.28515625" customWidth="1"/>
    <col min="7" max="7" width="12.7109375" customWidth="1"/>
    <col min="8" max="8" width="14.42578125" customWidth="1"/>
    <col min="9" max="9" width="8" style="12" customWidth="1"/>
    <col min="11" max="11" width="11.7109375" bestFit="1" customWidth="1"/>
    <col min="12" max="12" width="12.42578125" bestFit="1" customWidth="1"/>
    <col min="13" max="13" width="11.7109375" bestFit="1" customWidth="1"/>
  </cols>
  <sheetData>
    <row r="2" spans="4:13" ht="15.75" thickBot="1" x14ac:dyDescent="0.3"/>
    <row r="3" spans="4:13" ht="15.75" thickBot="1" x14ac:dyDescent="0.3">
      <c r="G3" s="32" t="s">
        <v>13</v>
      </c>
    </row>
    <row r="4" spans="4:13" ht="15.75" customHeight="1" thickBot="1" x14ac:dyDescent="0.3">
      <c r="F4" s="34" t="s">
        <v>12</v>
      </c>
      <c r="G4" s="40"/>
    </row>
    <row r="5" spans="4:13" ht="15" customHeight="1" x14ac:dyDescent="0.25">
      <c r="D5" s="32" t="s">
        <v>5</v>
      </c>
      <c r="E5" s="41" t="s">
        <v>4</v>
      </c>
      <c r="F5" s="38"/>
      <c r="G5" s="40"/>
      <c r="H5" s="32" t="s">
        <v>14</v>
      </c>
      <c r="J5" s="13" t="s">
        <v>0</v>
      </c>
      <c r="K5" s="13" t="s">
        <v>1</v>
      </c>
    </row>
    <row r="6" spans="4:13" ht="15.75" customHeight="1" thickBot="1" x14ac:dyDescent="0.3">
      <c r="D6" s="33"/>
      <c r="E6" s="42"/>
      <c r="F6" s="36"/>
      <c r="G6" s="33"/>
      <c r="H6" s="33"/>
    </row>
    <row r="8" spans="4:13" x14ac:dyDescent="0.25">
      <c r="D8" s="14" t="s">
        <v>2</v>
      </c>
      <c r="E8" s="14" t="s">
        <v>3</v>
      </c>
    </row>
    <row r="9" spans="4:13" x14ac:dyDescent="0.25">
      <c r="D9" s="9">
        <v>7400</v>
      </c>
      <c r="E9" s="9">
        <v>280704.2</v>
      </c>
      <c r="F9" s="15">
        <f>E9/D9</f>
        <v>37.933</v>
      </c>
      <c r="G9" s="16">
        <f t="shared" ref="G9:G39" si="0">D9*$F$43</f>
        <v>280699.02</v>
      </c>
      <c r="H9" s="16">
        <f>G9-E9</f>
        <v>-5.1799999999930151</v>
      </c>
      <c r="I9" s="10" t="s">
        <v>0</v>
      </c>
    </row>
    <row r="10" spans="4:13" x14ac:dyDescent="0.25">
      <c r="D10" s="9"/>
      <c r="E10" s="9"/>
      <c r="F10" s="15" t="e">
        <f t="shared" ref="F10:F39" si="1">E10/D10</f>
        <v>#DIV/0!</v>
      </c>
      <c r="G10" s="16">
        <f t="shared" si="0"/>
        <v>0</v>
      </c>
      <c r="H10" s="16">
        <f t="shared" ref="H10:H39" si="2">G10-E10</f>
        <v>0</v>
      </c>
      <c r="I10" s="10"/>
    </row>
    <row r="11" spans="4:13" x14ac:dyDescent="0.25">
      <c r="D11" s="9"/>
      <c r="E11" s="9"/>
      <c r="F11" s="15" t="e">
        <f t="shared" si="1"/>
        <v>#DIV/0!</v>
      </c>
      <c r="G11" s="16">
        <f t="shared" si="0"/>
        <v>0</v>
      </c>
      <c r="H11" s="16">
        <f t="shared" si="2"/>
        <v>0</v>
      </c>
      <c r="I11" s="10"/>
    </row>
    <row r="12" spans="4:13" x14ac:dyDescent="0.25">
      <c r="D12" s="9"/>
      <c r="E12" s="9"/>
      <c r="F12" s="15" t="e">
        <f t="shared" si="1"/>
        <v>#DIV/0!</v>
      </c>
      <c r="G12" s="16">
        <f t="shared" si="0"/>
        <v>0</v>
      </c>
      <c r="H12" s="16">
        <f t="shared" si="2"/>
        <v>0</v>
      </c>
      <c r="I12" s="10"/>
    </row>
    <row r="13" spans="4:13" x14ac:dyDescent="0.25">
      <c r="D13" s="9"/>
      <c r="E13" s="9"/>
      <c r="F13" s="15" t="e">
        <f t="shared" si="1"/>
        <v>#DIV/0!</v>
      </c>
      <c r="G13" s="16">
        <f t="shared" si="0"/>
        <v>0</v>
      </c>
      <c r="H13" s="16">
        <f t="shared" si="2"/>
        <v>0</v>
      </c>
      <c r="I13" s="10"/>
    </row>
    <row r="14" spans="4:13" x14ac:dyDescent="0.25">
      <c r="D14" s="9"/>
      <c r="E14" s="9"/>
      <c r="F14" s="15" t="e">
        <f t="shared" si="1"/>
        <v>#DIV/0!</v>
      </c>
      <c r="G14" s="16">
        <f t="shared" si="0"/>
        <v>0</v>
      </c>
      <c r="H14" s="16">
        <f t="shared" si="2"/>
        <v>0</v>
      </c>
      <c r="I14" s="10"/>
      <c r="M14" s="17"/>
    </row>
    <row r="15" spans="4:13" x14ac:dyDescent="0.25">
      <c r="D15" s="9"/>
      <c r="E15" s="9"/>
      <c r="F15" s="15" t="e">
        <f t="shared" si="1"/>
        <v>#DIV/0!</v>
      </c>
      <c r="G15" s="16">
        <f t="shared" si="0"/>
        <v>0</v>
      </c>
      <c r="H15" s="16">
        <f t="shared" si="2"/>
        <v>0</v>
      </c>
      <c r="I15" s="10"/>
      <c r="M15" s="17"/>
    </row>
    <row r="16" spans="4:13" x14ac:dyDescent="0.25">
      <c r="D16" s="9"/>
      <c r="E16" s="9"/>
      <c r="F16" s="15" t="e">
        <f t="shared" si="1"/>
        <v>#DIV/0!</v>
      </c>
      <c r="G16" s="16">
        <f t="shared" si="0"/>
        <v>0</v>
      </c>
      <c r="H16" s="16">
        <f t="shared" si="2"/>
        <v>0</v>
      </c>
      <c r="I16" s="10"/>
    </row>
    <row r="17" spans="4:9" x14ac:dyDescent="0.25">
      <c r="D17" s="9"/>
      <c r="E17" s="9"/>
      <c r="F17" s="15" t="e">
        <f t="shared" si="1"/>
        <v>#DIV/0!</v>
      </c>
      <c r="G17" s="16">
        <f t="shared" si="0"/>
        <v>0</v>
      </c>
      <c r="H17" s="16">
        <f t="shared" si="2"/>
        <v>0</v>
      </c>
      <c r="I17" s="10"/>
    </row>
    <row r="18" spans="4:9" x14ac:dyDescent="0.25">
      <c r="D18" s="9"/>
      <c r="E18" s="9"/>
      <c r="F18" s="15" t="e">
        <f t="shared" si="1"/>
        <v>#DIV/0!</v>
      </c>
      <c r="G18" s="16">
        <f t="shared" si="0"/>
        <v>0</v>
      </c>
      <c r="H18" s="16">
        <f t="shared" si="2"/>
        <v>0</v>
      </c>
      <c r="I18" s="10"/>
    </row>
    <row r="19" spans="4:9" x14ac:dyDescent="0.25">
      <c r="D19" s="9"/>
      <c r="E19" s="9"/>
      <c r="F19" s="15" t="e">
        <f t="shared" si="1"/>
        <v>#DIV/0!</v>
      </c>
      <c r="G19" s="16">
        <f t="shared" si="0"/>
        <v>0</v>
      </c>
      <c r="H19" s="16">
        <f t="shared" si="2"/>
        <v>0</v>
      </c>
      <c r="I19" s="10"/>
    </row>
    <row r="20" spans="4:9" x14ac:dyDescent="0.25">
      <c r="D20" s="9"/>
      <c r="E20" s="9"/>
      <c r="F20" s="15" t="e">
        <f t="shared" si="1"/>
        <v>#DIV/0!</v>
      </c>
      <c r="G20" s="16">
        <f t="shared" si="0"/>
        <v>0</v>
      </c>
      <c r="H20" s="16">
        <f t="shared" si="2"/>
        <v>0</v>
      </c>
      <c r="I20" s="10"/>
    </row>
    <row r="21" spans="4:9" x14ac:dyDescent="0.25">
      <c r="D21" s="9"/>
      <c r="E21" s="9"/>
      <c r="F21" s="15" t="e">
        <f t="shared" si="1"/>
        <v>#DIV/0!</v>
      </c>
      <c r="G21" s="16">
        <f t="shared" si="0"/>
        <v>0</v>
      </c>
      <c r="H21" s="16">
        <f t="shared" si="2"/>
        <v>0</v>
      </c>
      <c r="I21" s="10"/>
    </row>
    <row r="22" spans="4:9" x14ac:dyDescent="0.25">
      <c r="D22" s="9"/>
      <c r="E22" s="9"/>
      <c r="F22" s="15" t="e">
        <f t="shared" si="1"/>
        <v>#DIV/0!</v>
      </c>
      <c r="G22" s="16">
        <f t="shared" si="0"/>
        <v>0</v>
      </c>
      <c r="H22" s="16">
        <f t="shared" si="2"/>
        <v>0</v>
      </c>
      <c r="I22" s="10"/>
    </row>
    <row r="23" spans="4:9" x14ac:dyDescent="0.25">
      <c r="D23" s="9"/>
      <c r="E23" s="9"/>
      <c r="F23" s="15" t="e">
        <f t="shared" si="1"/>
        <v>#DIV/0!</v>
      </c>
      <c r="G23" s="16">
        <f t="shared" si="0"/>
        <v>0</v>
      </c>
      <c r="H23" s="16">
        <f t="shared" si="2"/>
        <v>0</v>
      </c>
      <c r="I23" s="10"/>
    </row>
    <row r="24" spans="4:9" x14ac:dyDescent="0.25">
      <c r="D24" s="9"/>
      <c r="E24" s="9"/>
      <c r="F24" s="15" t="e">
        <f t="shared" si="1"/>
        <v>#DIV/0!</v>
      </c>
      <c r="G24" s="16">
        <f t="shared" si="0"/>
        <v>0</v>
      </c>
      <c r="H24" s="16">
        <f t="shared" si="2"/>
        <v>0</v>
      </c>
      <c r="I24" s="10"/>
    </row>
    <row r="25" spans="4:9" x14ac:dyDescent="0.25">
      <c r="D25" s="9"/>
      <c r="E25" s="9"/>
      <c r="F25" s="15" t="e">
        <f t="shared" si="1"/>
        <v>#DIV/0!</v>
      </c>
      <c r="G25" s="16">
        <f t="shared" si="0"/>
        <v>0</v>
      </c>
      <c r="H25" s="16">
        <f t="shared" si="2"/>
        <v>0</v>
      </c>
      <c r="I25" s="10"/>
    </row>
    <row r="26" spans="4:9" x14ac:dyDescent="0.25">
      <c r="D26" s="9"/>
      <c r="E26" s="9"/>
      <c r="F26" s="15" t="e">
        <f t="shared" si="1"/>
        <v>#DIV/0!</v>
      </c>
      <c r="G26" s="16">
        <f t="shared" si="0"/>
        <v>0</v>
      </c>
      <c r="H26" s="16">
        <f t="shared" si="2"/>
        <v>0</v>
      </c>
      <c r="I26" s="10"/>
    </row>
    <row r="27" spans="4:9" x14ac:dyDescent="0.25">
      <c r="D27" s="9"/>
      <c r="E27" s="9"/>
      <c r="F27" s="15" t="e">
        <f t="shared" si="1"/>
        <v>#DIV/0!</v>
      </c>
      <c r="G27" s="16">
        <f t="shared" si="0"/>
        <v>0</v>
      </c>
      <c r="H27" s="16">
        <f t="shared" si="2"/>
        <v>0</v>
      </c>
      <c r="I27" s="10"/>
    </row>
    <row r="28" spans="4:9" x14ac:dyDescent="0.25">
      <c r="D28" s="9"/>
      <c r="E28" s="9"/>
      <c r="F28" s="15" t="e">
        <f t="shared" si="1"/>
        <v>#DIV/0!</v>
      </c>
      <c r="G28" s="16">
        <f t="shared" si="0"/>
        <v>0</v>
      </c>
      <c r="H28" s="16">
        <f t="shared" si="2"/>
        <v>0</v>
      </c>
      <c r="I28" s="10"/>
    </row>
    <row r="29" spans="4:9" x14ac:dyDescent="0.25">
      <c r="D29" s="9"/>
      <c r="E29" s="9"/>
      <c r="F29" s="15" t="e">
        <f t="shared" si="1"/>
        <v>#DIV/0!</v>
      </c>
      <c r="G29" s="16">
        <f t="shared" si="0"/>
        <v>0</v>
      </c>
      <c r="H29" s="16">
        <f t="shared" si="2"/>
        <v>0</v>
      </c>
      <c r="I29" s="10"/>
    </row>
    <row r="30" spans="4:9" x14ac:dyDescent="0.25">
      <c r="D30" s="9"/>
      <c r="E30" s="9"/>
      <c r="F30" s="15" t="e">
        <f t="shared" si="1"/>
        <v>#DIV/0!</v>
      </c>
      <c r="G30" s="16">
        <f t="shared" si="0"/>
        <v>0</v>
      </c>
      <c r="H30" s="16">
        <f t="shared" si="2"/>
        <v>0</v>
      </c>
      <c r="I30" s="10"/>
    </row>
    <row r="31" spans="4:9" x14ac:dyDescent="0.25">
      <c r="D31" s="9"/>
      <c r="E31" s="9"/>
      <c r="F31" s="15" t="e">
        <f t="shared" si="1"/>
        <v>#DIV/0!</v>
      </c>
      <c r="G31" s="16">
        <f t="shared" si="0"/>
        <v>0</v>
      </c>
      <c r="H31" s="16">
        <f t="shared" si="2"/>
        <v>0</v>
      </c>
      <c r="I31" s="10"/>
    </row>
    <row r="32" spans="4:9" x14ac:dyDescent="0.25">
      <c r="D32" s="9"/>
      <c r="E32" s="9"/>
      <c r="F32" s="15" t="e">
        <f t="shared" si="1"/>
        <v>#DIV/0!</v>
      </c>
      <c r="G32" s="16">
        <f t="shared" si="0"/>
        <v>0</v>
      </c>
      <c r="H32" s="16">
        <f t="shared" si="2"/>
        <v>0</v>
      </c>
      <c r="I32" s="10"/>
    </row>
    <row r="33" spans="2:12" x14ac:dyDescent="0.25">
      <c r="D33" s="9"/>
      <c r="E33" s="9"/>
      <c r="F33" s="15" t="e">
        <f t="shared" si="1"/>
        <v>#DIV/0!</v>
      </c>
      <c r="G33" s="16">
        <f t="shared" si="0"/>
        <v>0</v>
      </c>
      <c r="H33" s="16">
        <f t="shared" si="2"/>
        <v>0</v>
      </c>
      <c r="I33" s="10"/>
    </row>
    <row r="34" spans="2:12" x14ac:dyDescent="0.25">
      <c r="D34" s="9"/>
      <c r="E34" s="9"/>
      <c r="F34" s="15" t="e">
        <f t="shared" si="1"/>
        <v>#DIV/0!</v>
      </c>
      <c r="G34" s="16">
        <f t="shared" si="0"/>
        <v>0</v>
      </c>
      <c r="H34" s="16">
        <f t="shared" si="2"/>
        <v>0</v>
      </c>
      <c r="I34" s="10"/>
    </row>
    <row r="35" spans="2:12" x14ac:dyDescent="0.25">
      <c r="D35" s="9"/>
      <c r="E35" s="9"/>
      <c r="F35" s="15" t="e">
        <f t="shared" si="1"/>
        <v>#DIV/0!</v>
      </c>
      <c r="G35" s="16">
        <f t="shared" si="0"/>
        <v>0</v>
      </c>
      <c r="H35" s="16">
        <f t="shared" si="2"/>
        <v>0</v>
      </c>
      <c r="I35" s="10"/>
    </row>
    <row r="36" spans="2:12" x14ac:dyDescent="0.25">
      <c r="D36" s="9"/>
      <c r="E36" s="9"/>
      <c r="F36" s="15" t="e">
        <f t="shared" si="1"/>
        <v>#DIV/0!</v>
      </c>
      <c r="G36" s="16">
        <f t="shared" si="0"/>
        <v>0</v>
      </c>
      <c r="H36" s="16">
        <f t="shared" si="2"/>
        <v>0</v>
      </c>
      <c r="I36" s="10"/>
    </row>
    <row r="37" spans="2:12" x14ac:dyDescent="0.25">
      <c r="D37" s="9"/>
      <c r="E37" s="9"/>
      <c r="F37" s="15" t="e">
        <f t="shared" si="1"/>
        <v>#DIV/0!</v>
      </c>
      <c r="G37" s="16">
        <f t="shared" si="0"/>
        <v>0</v>
      </c>
      <c r="H37" s="16">
        <f t="shared" si="2"/>
        <v>0</v>
      </c>
      <c r="I37" s="10"/>
    </row>
    <row r="38" spans="2:12" x14ac:dyDescent="0.25">
      <c r="D38" s="9"/>
      <c r="E38" s="9"/>
      <c r="F38" s="15" t="e">
        <f t="shared" si="1"/>
        <v>#DIV/0!</v>
      </c>
      <c r="G38" s="16">
        <f t="shared" si="0"/>
        <v>0</v>
      </c>
      <c r="H38" s="16">
        <f t="shared" si="2"/>
        <v>0</v>
      </c>
      <c r="I38" s="10"/>
    </row>
    <row r="39" spans="2:12" x14ac:dyDescent="0.25">
      <c r="D39" s="9"/>
      <c r="E39" s="9"/>
      <c r="F39" s="15" t="e">
        <f t="shared" si="1"/>
        <v>#DIV/0!</v>
      </c>
      <c r="G39" s="16">
        <f t="shared" si="0"/>
        <v>0</v>
      </c>
      <c r="H39" s="16">
        <f t="shared" si="2"/>
        <v>0</v>
      </c>
      <c r="I39" s="10"/>
    </row>
    <row r="41" spans="2:12" x14ac:dyDescent="0.25">
      <c r="C41" s="18" t="s">
        <v>11</v>
      </c>
      <c r="D41" s="19">
        <f>SUM(D9:D40)</f>
        <v>7400</v>
      </c>
      <c r="E41" s="16">
        <f>SUM(E9:E40)</f>
        <v>280704.2</v>
      </c>
      <c r="G41" s="16">
        <f>SUM(G9:G40)</f>
        <v>280699.02</v>
      </c>
      <c r="H41" s="16">
        <f>SUM(H9:H40)</f>
        <v>-5.1799999999930151</v>
      </c>
    </row>
    <row r="42" spans="2:12" x14ac:dyDescent="0.25">
      <c r="C42" s="31" t="s">
        <v>6</v>
      </c>
      <c r="D42" s="11">
        <v>7400</v>
      </c>
      <c r="E42" s="9">
        <v>280699.02</v>
      </c>
      <c r="G42" s="18" t="b">
        <f>G41=E42</f>
        <v>1</v>
      </c>
    </row>
    <row r="43" spans="2:12" x14ac:dyDescent="0.25">
      <c r="C43" s="18" t="s">
        <v>10</v>
      </c>
      <c r="E43" s="17"/>
      <c r="F43" s="20">
        <f>E42/D42</f>
        <v>37.932300000000005</v>
      </c>
    </row>
    <row r="44" spans="2:12" ht="15.75" thickBot="1" x14ac:dyDescent="0.3"/>
    <row r="45" spans="2:12" ht="15.75" customHeight="1" thickBot="1" x14ac:dyDescent="0.3">
      <c r="B45" s="34" t="s">
        <v>7</v>
      </c>
      <c r="C45" s="35"/>
      <c r="D45" s="21"/>
      <c r="E45" s="22">
        <f>E42-E41</f>
        <v>-5.1799999999930151</v>
      </c>
      <c r="G45" s="23" t="s">
        <v>0</v>
      </c>
      <c r="H45" s="24" t="s">
        <v>1</v>
      </c>
      <c r="K45" s="25" t="s">
        <v>0</v>
      </c>
      <c r="L45" s="16">
        <f>G78</f>
        <v>-5.1799999999930151</v>
      </c>
    </row>
    <row r="46" spans="2:12" ht="15.75" x14ac:dyDescent="0.25">
      <c r="B46" s="38"/>
      <c r="C46" s="39"/>
      <c r="G46" s="26">
        <f>IF(I9=$J$5,H9,J9)</f>
        <v>-5.1799999999930151</v>
      </c>
      <c r="H46" s="16">
        <f>IF(I9=$K$5,H9,J9)</f>
        <v>0</v>
      </c>
      <c r="K46" s="25" t="s">
        <v>1</v>
      </c>
      <c r="L46" s="16">
        <f>H78</f>
        <v>0</v>
      </c>
    </row>
    <row r="47" spans="2:12" ht="15.75" thickBot="1" x14ac:dyDescent="0.3">
      <c r="B47" s="36"/>
      <c r="C47" s="37"/>
      <c r="G47" s="26">
        <f t="shared" ref="G47:G76" si="3">IF(I10=$J$5,H10,J10)</f>
        <v>0</v>
      </c>
      <c r="H47" s="16">
        <f t="shared" ref="H47:H76" si="4">IF(I10=$K$5,H10,J10)</f>
        <v>0</v>
      </c>
    </row>
    <row r="48" spans="2:12" ht="15.75" thickBot="1" x14ac:dyDescent="0.3">
      <c r="G48" s="26">
        <f t="shared" si="3"/>
        <v>0</v>
      </c>
      <c r="H48" s="16">
        <f t="shared" si="4"/>
        <v>0</v>
      </c>
      <c r="K48" s="27" t="s">
        <v>11</v>
      </c>
      <c r="L48" s="28">
        <f>SUM(L45:L47)</f>
        <v>-5.1799999999930151</v>
      </c>
    </row>
    <row r="49" spans="2:11" x14ac:dyDescent="0.25">
      <c r="B49" s="34" t="s">
        <v>8</v>
      </c>
      <c r="C49" s="35"/>
      <c r="G49" s="26">
        <f t="shared" si="3"/>
        <v>0</v>
      </c>
      <c r="H49" s="16">
        <f t="shared" si="4"/>
        <v>0</v>
      </c>
    </row>
    <row r="50" spans="2:11" ht="15.75" thickBot="1" x14ac:dyDescent="0.3">
      <c r="B50" s="36"/>
      <c r="C50" s="37"/>
      <c r="G50" s="26">
        <f t="shared" si="3"/>
        <v>0</v>
      </c>
      <c r="H50" s="16">
        <f t="shared" si="4"/>
        <v>0</v>
      </c>
      <c r="K50" s="29">
        <f>E41+L48</f>
        <v>280699.02</v>
      </c>
    </row>
    <row r="51" spans="2:11" x14ac:dyDescent="0.25">
      <c r="B51" s="34" t="s">
        <v>9</v>
      </c>
      <c r="C51" s="35"/>
      <c r="G51" s="26">
        <f t="shared" si="3"/>
        <v>0</v>
      </c>
      <c r="H51" s="16">
        <f t="shared" si="4"/>
        <v>0</v>
      </c>
      <c r="K51" s="30" t="b">
        <f>E42=K50</f>
        <v>1</v>
      </c>
    </row>
    <row r="52" spans="2:11" ht="15.75" thickBot="1" x14ac:dyDescent="0.3">
      <c r="B52" s="36"/>
      <c r="C52" s="37"/>
      <c r="G52" s="26">
        <f t="shared" si="3"/>
        <v>0</v>
      </c>
      <c r="H52" s="16">
        <f t="shared" si="4"/>
        <v>0</v>
      </c>
    </row>
    <row r="53" spans="2:11" x14ac:dyDescent="0.25">
      <c r="G53" s="26">
        <f t="shared" si="3"/>
        <v>0</v>
      </c>
      <c r="H53" s="16">
        <f t="shared" si="4"/>
        <v>0</v>
      </c>
    </row>
    <row r="54" spans="2:11" x14ac:dyDescent="0.25">
      <c r="G54" s="26">
        <f t="shared" si="3"/>
        <v>0</v>
      </c>
      <c r="H54" s="16">
        <f t="shared" si="4"/>
        <v>0</v>
      </c>
    </row>
    <row r="55" spans="2:11" x14ac:dyDescent="0.25">
      <c r="G55" s="26">
        <f t="shared" si="3"/>
        <v>0</v>
      </c>
      <c r="H55" s="16">
        <f t="shared" si="4"/>
        <v>0</v>
      </c>
    </row>
    <row r="56" spans="2:11" x14ac:dyDescent="0.25">
      <c r="G56" s="26">
        <f t="shared" si="3"/>
        <v>0</v>
      </c>
      <c r="H56" s="16">
        <f t="shared" si="4"/>
        <v>0</v>
      </c>
    </row>
    <row r="57" spans="2:11" x14ac:dyDescent="0.25">
      <c r="G57" s="26">
        <f t="shared" si="3"/>
        <v>0</v>
      </c>
      <c r="H57" s="16">
        <f t="shared" si="4"/>
        <v>0</v>
      </c>
    </row>
    <row r="58" spans="2:11" x14ac:dyDescent="0.25">
      <c r="G58" s="26">
        <f t="shared" si="3"/>
        <v>0</v>
      </c>
      <c r="H58" s="16">
        <f t="shared" si="4"/>
        <v>0</v>
      </c>
    </row>
    <row r="59" spans="2:11" x14ac:dyDescent="0.25">
      <c r="G59" s="26">
        <f t="shared" si="3"/>
        <v>0</v>
      </c>
      <c r="H59" s="16">
        <f t="shared" si="4"/>
        <v>0</v>
      </c>
    </row>
    <row r="60" spans="2:11" x14ac:dyDescent="0.25">
      <c r="G60" s="26">
        <f t="shared" si="3"/>
        <v>0</v>
      </c>
      <c r="H60" s="16">
        <f t="shared" si="4"/>
        <v>0</v>
      </c>
    </row>
    <row r="61" spans="2:11" x14ac:dyDescent="0.25">
      <c r="G61" s="26">
        <f t="shared" si="3"/>
        <v>0</v>
      </c>
      <c r="H61" s="16">
        <f t="shared" si="4"/>
        <v>0</v>
      </c>
    </row>
    <row r="62" spans="2:11" x14ac:dyDescent="0.25">
      <c r="G62" s="26">
        <f t="shared" si="3"/>
        <v>0</v>
      </c>
      <c r="H62" s="16">
        <f t="shared" si="4"/>
        <v>0</v>
      </c>
    </row>
    <row r="63" spans="2:11" x14ac:dyDescent="0.25">
      <c r="G63" s="26">
        <f t="shared" si="3"/>
        <v>0</v>
      </c>
      <c r="H63" s="16">
        <f t="shared" si="4"/>
        <v>0</v>
      </c>
    </row>
    <row r="64" spans="2:11" x14ac:dyDescent="0.25">
      <c r="G64" s="26">
        <f t="shared" si="3"/>
        <v>0</v>
      </c>
      <c r="H64" s="16">
        <f t="shared" si="4"/>
        <v>0</v>
      </c>
    </row>
    <row r="65" spans="7:8" x14ac:dyDescent="0.25">
      <c r="G65" s="26">
        <f t="shared" si="3"/>
        <v>0</v>
      </c>
      <c r="H65" s="16">
        <f t="shared" si="4"/>
        <v>0</v>
      </c>
    </row>
    <row r="66" spans="7:8" x14ac:dyDescent="0.25">
      <c r="G66" s="26">
        <f t="shared" si="3"/>
        <v>0</v>
      </c>
      <c r="H66" s="16">
        <f t="shared" si="4"/>
        <v>0</v>
      </c>
    </row>
    <row r="67" spans="7:8" x14ac:dyDescent="0.25">
      <c r="G67" s="26">
        <f t="shared" si="3"/>
        <v>0</v>
      </c>
      <c r="H67" s="16">
        <f t="shared" si="4"/>
        <v>0</v>
      </c>
    </row>
    <row r="68" spans="7:8" x14ac:dyDescent="0.25">
      <c r="G68" s="26">
        <f t="shared" si="3"/>
        <v>0</v>
      </c>
      <c r="H68" s="16">
        <f t="shared" si="4"/>
        <v>0</v>
      </c>
    </row>
    <row r="69" spans="7:8" x14ac:dyDescent="0.25">
      <c r="G69" s="26">
        <f t="shared" si="3"/>
        <v>0</v>
      </c>
      <c r="H69" s="16">
        <f t="shared" si="4"/>
        <v>0</v>
      </c>
    </row>
    <row r="70" spans="7:8" x14ac:dyDescent="0.25">
      <c r="G70" s="26">
        <f t="shared" si="3"/>
        <v>0</v>
      </c>
      <c r="H70" s="16">
        <f t="shared" si="4"/>
        <v>0</v>
      </c>
    </row>
    <row r="71" spans="7:8" x14ac:dyDescent="0.25">
      <c r="G71" s="26">
        <f t="shared" si="3"/>
        <v>0</v>
      </c>
      <c r="H71" s="16">
        <f t="shared" si="4"/>
        <v>0</v>
      </c>
    </row>
    <row r="72" spans="7:8" x14ac:dyDescent="0.25">
      <c r="G72" s="26">
        <f t="shared" si="3"/>
        <v>0</v>
      </c>
      <c r="H72" s="16">
        <f t="shared" si="4"/>
        <v>0</v>
      </c>
    </row>
    <row r="73" spans="7:8" x14ac:dyDescent="0.25">
      <c r="G73" s="26">
        <f t="shared" si="3"/>
        <v>0</v>
      </c>
      <c r="H73" s="16">
        <f t="shared" si="4"/>
        <v>0</v>
      </c>
    </row>
    <row r="74" spans="7:8" x14ac:dyDescent="0.25">
      <c r="G74" s="26">
        <f t="shared" si="3"/>
        <v>0</v>
      </c>
      <c r="H74" s="16">
        <f t="shared" si="4"/>
        <v>0</v>
      </c>
    </row>
    <row r="75" spans="7:8" x14ac:dyDescent="0.25">
      <c r="G75" s="26">
        <f t="shared" si="3"/>
        <v>0</v>
      </c>
      <c r="H75" s="16">
        <f t="shared" si="4"/>
        <v>0</v>
      </c>
    </row>
    <row r="76" spans="7:8" x14ac:dyDescent="0.25">
      <c r="G76" s="26">
        <f t="shared" si="3"/>
        <v>0</v>
      </c>
      <c r="H76" s="16">
        <f t="shared" si="4"/>
        <v>0</v>
      </c>
    </row>
    <row r="77" spans="7:8" x14ac:dyDescent="0.25">
      <c r="G77" s="17"/>
    </row>
    <row r="78" spans="7:8" x14ac:dyDescent="0.25">
      <c r="G78" s="28">
        <f>SUM(G46:G77)</f>
        <v>-5.1799999999930151</v>
      </c>
      <c r="H78" s="28">
        <f>SUM(H46:H77)</f>
        <v>0</v>
      </c>
    </row>
  </sheetData>
  <sheetProtection sheet="1" objects="1" scenarios="1"/>
  <mergeCells count="8">
    <mergeCell ref="H5:H6"/>
    <mergeCell ref="B51:C52"/>
    <mergeCell ref="B45:C47"/>
    <mergeCell ref="F4:F6"/>
    <mergeCell ref="G3:G6"/>
    <mergeCell ref="E5:E6"/>
    <mergeCell ref="D5:D6"/>
    <mergeCell ref="B49:C5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KesimUyarisi">
                <anchor moveWithCells="1" sizeWithCells="1">
                  <from>
                    <xdr:col>12</xdr:col>
                    <xdr:colOff>619125</xdr:colOff>
                    <xdr:row>44</xdr:row>
                    <xdr:rowOff>19050</xdr:rowOff>
                  </from>
                  <to>
                    <xdr:col>15</xdr:col>
                    <xdr:colOff>276225</xdr:colOff>
                    <xdr:row>47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6C9DC-00DA-4188-BCE1-F5D268277039}">
  <sheetPr codeName="Sayfa2"/>
  <dimension ref="B2:H35"/>
  <sheetViews>
    <sheetView zoomScale="90" zoomScaleNormal="90" workbookViewId="0">
      <selection activeCell="I21" sqref="I21"/>
    </sheetView>
  </sheetViews>
  <sheetFormatPr defaultRowHeight="15" x14ac:dyDescent="0.25"/>
  <sheetData>
    <row r="2" spans="2:8" ht="15.75" thickBot="1" x14ac:dyDescent="0.3">
      <c r="C2" t="s">
        <v>15</v>
      </c>
    </row>
    <row r="3" spans="2:8" x14ac:dyDescent="0.25">
      <c r="B3" s="1"/>
      <c r="C3" s="6"/>
      <c r="D3" s="6"/>
      <c r="E3" s="6"/>
      <c r="F3" s="6"/>
      <c r="G3" s="6"/>
      <c r="H3" s="3"/>
    </row>
    <row r="4" spans="2:8" x14ac:dyDescent="0.25">
      <c r="B4" s="4"/>
      <c r="H4" s="5"/>
    </row>
    <row r="5" spans="2:8" x14ac:dyDescent="0.25">
      <c r="B5" s="4"/>
      <c r="H5" s="5"/>
    </row>
    <row r="6" spans="2:8" x14ac:dyDescent="0.25">
      <c r="B6" s="4"/>
      <c r="H6" s="5"/>
    </row>
    <row r="7" spans="2:8" x14ac:dyDescent="0.25">
      <c r="B7" s="4"/>
      <c r="H7" s="5"/>
    </row>
    <row r="8" spans="2:8" x14ac:dyDescent="0.25">
      <c r="B8" s="4"/>
      <c r="H8" s="5"/>
    </row>
    <row r="9" spans="2:8" x14ac:dyDescent="0.25">
      <c r="B9" s="4"/>
      <c r="H9" s="5"/>
    </row>
    <row r="10" spans="2:8" x14ac:dyDescent="0.25">
      <c r="B10" s="4"/>
      <c r="H10" s="5"/>
    </row>
    <row r="11" spans="2:8" x14ac:dyDescent="0.25">
      <c r="B11" s="4"/>
      <c r="H11" s="5"/>
    </row>
    <row r="12" spans="2:8" x14ac:dyDescent="0.25">
      <c r="B12" s="4"/>
      <c r="H12" s="5"/>
    </row>
    <row r="13" spans="2:8" x14ac:dyDescent="0.25">
      <c r="B13" s="4"/>
      <c r="H13" s="5"/>
    </row>
    <row r="14" spans="2:8" x14ac:dyDescent="0.25">
      <c r="B14" s="4"/>
      <c r="H14" s="5"/>
    </row>
    <row r="15" spans="2:8" x14ac:dyDescent="0.25">
      <c r="B15" s="4"/>
      <c r="H15" s="5"/>
    </row>
    <row r="16" spans="2:8" x14ac:dyDescent="0.25">
      <c r="B16" s="4"/>
      <c r="H16" s="5"/>
    </row>
    <row r="17" spans="2:8" x14ac:dyDescent="0.25">
      <c r="B17" s="4"/>
      <c r="H17" s="5"/>
    </row>
    <row r="18" spans="2:8" x14ac:dyDescent="0.25">
      <c r="B18" s="4"/>
      <c r="H18" s="5"/>
    </row>
    <row r="19" spans="2:8" x14ac:dyDescent="0.25">
      <c r="B19" s="4"/>
      <c r="H19" s="5"/>
    </row>
    <row r="20" spans="2:8" x14ac:dyDescent="0.25">
      <c r="B20" s="4"/>
      <c r="H20" s="5"/>
    </row>
    <row r="21" spans="2:8" x14ac:dyDescent="0.25">
      <c r="B21" s="4"/>
      <c r="H21" s="5"/>
    </row>
    <row r="22" spans="2:8" x14ac:dyDescent="0.25">
      <c r="B22" s="4"/>
      <c r="H22" s="5"/>
    </row>
    <row r="23" spans="2:8" x14ac:dyDescent="0.25">
      <c r="B23" s="4"/>
      <c r="H23" s="5"/>
    </row>
    <row r="24" spans="2:8" x14ac:dyDescent="0.25">
      <c r="B24" s="4"/>
      <c r="H24" s="5"/>
    </row>
    <row r="25" spans="2:8" x14ac:dyDescent="0.25">
      <c r="B25" s="4"/>
      <c r="H25" s="5"/>
    </row>
    <row r="26" spans="2:8" x14ac:dyDescent="0.25">
      <c r="B26" s="4"/>
      <c r="H26" s="5"/>
    </row>
    <row r="27" spans="2:8" x14ac:dyDescent="0.25">
      <c r="B27" s="4"/>
      <c r="H27" s="5"/>
    </row>
    <row r="28" spans="2:8" x14ac:dyDescent="0.25">
      <c r="B28" s="4"/>
      <c r="H28" s="5"/>
    </row>
    <row r="29" spans="2:8" x14ac:dyDescent="0.25">
      <c r="B29" s="4"/>
      <c r="H29" s="5"/>
    </row>
    <row r="30" spans="2:8" x14ac:dyDescent="0.25">
      <c r="B30" s="4"/>
      <c r="H30" s="5"/>
    </row>
    <row r="31" spans="2:8" x14ac:dyDescent="0.25">
      <c r="B31" s="4"/>
      <c r="H31" s="5"/>
    </row>
    <row r="32" spans="2:8" x14ac:dyDescent="0.25">
      <c r="B32" s="4"/>
      <c r="H32" s="5"/>
    </row>
    <row r="33" spans="2:8" x14ac:dyDescent="0.25">
      <c r="B33" s="4"/>
      <c r="H33" s="5"/>
    </row>
    <row r="34" spans="2:8" x14ac:dyDescent="0.25">
      <c r="B34" s="4"/>
      <c r="H34" s="5"/>
    </row>
    <row r="35" spans="2:8" ht="15.75" thickBot="1" x14ac:dyDescent="0.3">
      <c r="B35" s="2"/>
      <c r="C35" s="7"/>
      <c r="D35" s="7"/>
      <c r="E35" s="7"/>
      <c r="F35" s="7"/>
      <c r="G35" s="7"/>
      <c r="H35" s="8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8C2F7-BA80-4DA0-BD9E-4687A2FEA8E7}">
  <sheetPr codeName="Sayfa3"/>
  <dimension ref="A1:F19"/>
  <sheetViews>
    <sheetView workbookViewId="0">
      <selection activeCell="C7" sqref="C7"/>
    </sheetView>
  </sheetViews>
  <sheetFormatPr defaultRowHeight="15" x14ac:dyDescent="0.25"/>
  <cols>
    <col min="3" max="3" width="11.7109375" bestFit="1" customWidth="1"/>
    <col min="5" max="5" width="10.85546875" bestFit="1" customWidth="1"/>
  </cols>
  <sheetData>
    <row r="1" spans="1:6" x14ac:dyDescent="0.25">
      <c r="A1" s="17">
        <v>40932.980000000003</v>
      </c>
    </row>
    <row r="2" spans="1:6" x14ac:dyDescent="0.25">
      <c r="A2" s="17">
        <v>16925.330000000002</v>
      </c>
      <c r="C2" s="17">
        <v>1679181.35</v>
      </c>
    </row>
    <row r="3" spans="1:6" x14ac:dyDescent="0.25">
      <c r="A3" s="17">
        <v>50064.65</v>
      </c>
      <c r="C3" s="17">
        <v>694322.73</v>
      </c>
    </row>
    <row r="4" spans="1:6" x14ac:dyDescent="0.25">
      <c r="C4" s="17">
        <v>2053787.12</v>
      </c>
    </row>
    <row r="5" spans="1:6" x14ac:dyDescent="0.25">
      <c r="F5" s="17">
        <v>7400</v>
      </c>
    </row>
    <row r="7" spans="1:6" x14ac:dyDescent="0.25">
      <c r="C7" s="9">
        <v>280704.2</v>
      </c>
    </row>
    <row r="19" spans="5:5" x14ac:dyDescent="0.25">
      <c r="E19" s="9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FORMÜL</vt:lpstr>
      <vt:lpstr>V0-V5 FATURA</vt:lpstr>
      <vt:lpstr>Sayfa1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Feda Gülgar</dc:creator>
  <cp:lastModifiedBy>Arif Karaoğlan</cp:lastModifiedBy>
  <dcterms:created xsi:type="dcterms:W3CDTF">2024-11-01T08:09:39Z</dcterms:created>
  <dcterms:modified xsi:type="dcterms:W3CDTF">2025-04-14T12:12:29Z</dcterms:modified>
</cp:coreProperties>
</file>